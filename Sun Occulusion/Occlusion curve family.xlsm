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ulo\Documents\MoonRanger\"/>
    </mc:Choice>
  </mc:AlternateContent>
  <xr:revisionPtr revIDLastSave="0" documentId="8_{B3BA72EC-699E-4605-92C1-74F9EC692242}" xr6:coauthVersionLast="46" xr6:coauthVersionMax="46" xr10:uidLastSave="{00000000-0000-0000-0000-000000000000}"/>
  <bookViews>
    <workbookView xWindow="-120" yWindow="-120" windowWidth="29040" windowHeight="15840" xr2:uid="{25A06723-10A1-4A6A-B3BE-FFB363E3BE3C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6" i="1"/>
  <c r="K7" i="1"/>
  <c r="K8" i="1"/>
  <c r="K9" i="1"/>
  <c r="K10" i="1"/>
  <c r="K11" i="1"/>
  <c r="K12" i="1"/>
  <c r="K13" i="1"/>
  <c r="K14" i="1"/>
  <c r="K15" i="1"/>
  <c r="K16" i="1"/>
  <c r="K17" i="1"/>
  <c r="K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4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22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4" i="1"/>
  <c r="H16" i="1"/>
  <c r="H17" i="1"/>
  <c r="H7" i="1"/>
  <c r="H8" i="1" s="1"/>
  <c r="H9" i="1" s="1"/>
  <c r="H10" i="1" s="1"/>
  <c r="H11" i="1" s="1"/>
  <c r="H12" i="1" s="1"/>
  <c r="H13" i="1" s="1"/>
  <c r="H14" i="1" s="1"/>
  <c r="H15" i="1" s="1"/>
  <c r="H6" i="1"/>
</calcChain>
</file>

<file path=xl/sharedStrings.xml><?xml version="1.0" encoding="utf-8"?>
<sst xmlns="http://schemas.openxmlformats.org/spreadsheetml/2006/main" count="8" uniqueCount="8">
  <si>
    <t>Time (s)</t>
  </si>
  <si>
    <t>Time (hs)</t>
  </si>
  <si>
    <t>Site 1 (W/m^2)</t>
  </si>
  <si>
    <t>Site 2 (W/m^2)</t>
  </si>
  <si>
    <t>Interpolation</t>
  </si>
  <si>
    <t>Site 1 VSD</t>
  </si>
  <si>
    <t>Site 2 VSD</t>
  </si>
  <si>
    <t>Interpolation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</si>
</sst>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9B339-2461-4E75-BDFE-F1A5CE77569A}">
  <dimension ref="C3:L35"/>
  <sheetViews>
    <sheetView tabSelected="1" workbookViewId="0">
      <selection activeCell="C4" sqref="C4"/>
    </sheetView>
  </sheetViews>
  <sheetFormatPr defaultRowHeight="15" x14ac:dyDescent="0.25"/>
  <cols>
    <col min="3" max="3" width="16.85546875" bestFit="1" customWidth="1"/>
    <col min="4" max="4" width="15" customWidth="1"/>
    <col min="10" max="10" width="14.28515625" bestFit="1" customWidth="1"/>
    <col min="11" max="11" width="14.28515625" customWidth="1"/>
    <col min="12" max="12" width="14.28515625" bestFit="1" customWidth="1"/>
  </cols>
  <sheetData>
    <row r="3" spans="3:12" x14ac:dyDescent="0.25">
      <c r="C3" t="s">
        <v>7</v>
      </c>
      <c r="H3" t="s">
        <v>0</v>
      </c>
      <c r="I3" t="s">
        <v>1</v>
      </c>
      <c r="J3" t="s">
        <v>2</v>
      </c>
      <c r="K3" t="s">
        <v>4</v>
      </c>
      <c r="L3" t="s">
        <v>3</v>
      </c>
    </row>
    <row r="4" spans="3:12" x14ac:dyDescent="0.25">
      <c r="C4">
        <v>0.4</v>
      </c>
      <c r="H4">
        <v>0</v>
      </c>
      <c r="I4">
        <f>H4/3600</f>
        <v>0</v>
      </c>
      <c r="J4">
        <v>1370</v>
      </c>
      <c r="K4">
        <f>J4+(L4-J4)*$C$4</f>
        <v>1370</v>
      </c>
      <c r="L4">
        <f>1370*D22</f>
        <v>1370</v>
      </c>
    </row>
    <row r="5" spans="3:12" x14ac:dyDescent="0.25">
      <c r="H5">
        <v>7087.3440000000001</v>
      </c>
      <c r="I5">
        <f t="shared" ref="I5:I17" si="0">H5/3600</f>
        <v>1.9687066666666666</v>
      </c>
      <c r="J5">
        <v>1274.0999999999999</v>
      </c>
      <c r="K5">
        <f t="shared" ref="K5:K17" si="1">J5+(L5-J5)*$C$4</f>
        <v>1296.02</v>
      </c>
      <c r="L5">
        <f t="shared" ref="L5:L17" si="2">1370*D23</f>
        <v>1328.8999999999999</v>
      </c>
    </row>
    <row r="6" spans="3:12" x14ac:dyDescent="0.25">
      <c r="H6">
        <f>H5+7087.344</f>
        <v>14174.688</v>
      </c>
      <c r="I6">
        <f t="shared" si="0"/>
        <v>3.9374133333333332</v>
      </c>
      <c r="J6">
        <v>1109</v>
      </c>
      <c r="K6">
        <f t="shared" si="1"/>
        <v>1164.08</v>
      </c>
      <c r="L6">
        <f t="shared" si="2"/>
        <v>1246.7</v>
      </c>
    </row>
    <row r="7" spans="3:12" x14ac:dyDescent="0.25">
      <c r="H7">
        <f t="shared" ref="H7:H17" si="3">H6+7087.344</f>
        <v>21262.031999999999</v>
      </c>
      <c r="I7">
        <f t="shared" si="0"/>
        <v>5.9061199999999996</v>
      </c>
      <c r="J7">
        <v>945.3</v>
      </c>
      <c r="K7">
        <f t="shared" si="1"/>
        <v>1022.02</v>
      </c>
      <c r="L7">
        <f t="shared" si="2"/>
        <v>1137.0999999999999</v>
      </c>
    </row>
    <row r="8" spans="3:12" x14ac:dyDescent="0.25">
      <c r="H8">
        <f t="shared" si="3"/>
        <v>28349.376</v>
      </c>
      <c r="I8">
        <f t="shared" si="0"/>
        <v>7.8748266666666664</v>
      </c>
      <c r="J8">
        <v>780.9</v>
      </c>
      <c r="K8">
        <f t="shared" si="1"/>
        <v>868.58</v>
      </c>
      <c r="L8">
        <f t="shared" si="2"/>
        <v>1000.1</v>
      </c>
    </row>
    <row r="9" spans="3:12" x14ac:dyDescent="0.25">
      <c r="H9">
        <f t="shared" si="3"/>
        <v>35436.720000000001</v>
      </c>
      <c r="I9">
        <f t="shared" si="0"/>
        <v>9.8435333333333332</v>
      </c>
      <c r="J9">
        <v>698.7</v>
      </c>
      <c r="K9">
        <f t="shared" si="1"/>
        <v>835.7</v>
      </c>
      <c r="L9">
        <f t="shared" si="2"/>
        <v>1041.2</v>
      </c>
    </row>
    <row r="10" spans="3:12" x14ac:dyDescent="0.25">
      <c r="H10">
        <f t="shared" si="3"/>
        <v>42524.063999999998</v>
      </c>
      <c r="I10">
        <f t="shared" si="0"/>
        <v>11.812239999999999</v>
      </c>
      <c r="J10">
        <v>616.5</v>
      </c>
      <c r="K10">
        <f t="shared" si="1"/>
        <v>819.26</v>
      </c>
      <c r="L10">
        <f t="shared" si="2"/>
        <v>1123.3999999999999</v>
      </c>
    </row>
    <row r="11" spans="3:12" x14ac:dyDescent="0.25">
      <c r="H11">
        <f t="shared" si="3"/>
        <v>49611.407999999996</v>
      </c>
      <c r="I11">
        <f t="shared" si="0"/>
        <v>13.780946666666665</v>
      </c>
      <c r="J11">
        <v>356.2</v>
      </c>
      <c r="K11">
        <f t="shared" si="1"/>
        <v>706.92000000000007</v>
      </c>
      <c r="L11">
        <f t="shared" si="2"/>
        <v>1233</v>
      </c>
    </row>
    <row r="12" spans="3:12" x14ac:dyDescent="0.25">
      <c r="H12">
        <f t="shared" si="3"/>
        <v>56698.751999999993</v>
      </c>
      <c r="I12">
        <f t="shared" si="0"/>
        <v>15.749653333333331</v>
      </c>
      <c r="J12">
        <v>287.7</v>
      </c>
      <c r="K12">
        <f t="shared" si="1"/>
        <v>665.81999999999994</v>
      </c>
      <c r="L12">
        <f t="shared" si="2"/>
        <v>1233</v>
      </c>
    </row>
    <row r="13" spans="3:12" x14ac:dyDescent="0.25">
      <c r="H13">
        <f t="shared" si="3"/>
        <v>63786.09599999999</v>
      </c>
      <c r="I13">
        <f t="shared" si="0"/>
        <v>17.718359999999997</v>
      </c>
      <c r="J13">
        <v>328.8</v>
      </c>
      <c r="K13">
        <f t="shared" si="1"/>
        <v>690.48</v>
      </c>
      <c r="L13">
        <f t="shared" si="2"/>
        <v>1233</v>
      </c>
    </row>
    <row r="14" spans="3:12" x14ac:dyDescent="0.25">
      <c r="H14">
        <f t="shared" si="3"/>
        <v>70873.439999999988</v>
      </c>
      <c r="I14">
        <f t="shared" si="0"/>
        <v>19.687066666666663</v>
      </c>
      <c r="J14">
        <v>643.9</v>
      </c>
      <c r="K14">
        <f t="shared" si="1"/>
        <v>895.98</v>
      </c>
      <c r="L14">
        <f t="shared" si="2"/>
        <v>1274.1000000000001</v>
      </c>
    </row>
    <row r="15" spans="3:12" x14ac:dyDescent="0.25">
      <c r="H15">
        <f t="shared" si="3"/>
        <v>77960.783999999985</v>
      </c>
      <c r="I15">
        <f t="shared" si="0"/>
        <v>21.655773333333329</v>
      </c>
      <c r="J15">
        <v>1013.8</v>
      </c>
      <c r="K15">
        <f t="shared" si="1"/>
        <v>1139.8399999999999</v>
      </c>
      <c r="L15">
        <f t="shared" si="2"/>
        <v>1328.8999999999999</v>
      </c>
    </row>
    <row r="16" spans="3:12" x14ac:dyDescent="0.25">
      <c r="H16">
        <f>H15+7087.344</f>
        <v>85048.127999999982</v>
      </c>
      <c r="I16">
        <f t="shared" si="0"/>
        <v>23.624479999999995</v>
      </c>
      <c r="J16">
        <v>1342.6</v>
      </c>
      <c r="K16">
        <f t="shared" si="1"/>
        <v>1342.6</v>
      </c>
      <c r="L16">
        <f t="shared" si="2"/>
        <v>1342.6</v>
      </c>
    </row>
    <row r="17" spans="3:12" x14ac:dyDescent="0.25">
      <c r="H17">
        <f t="shared" si="3"/>
        <v>92135.47199999998</v>
      </c>
      <c r="I17">
        <f t="shared" si="0"/>
        <v>25.593186666666661</v>
      </c>
      <c r="J17">
        <v>1370</v>
      </c>
      <c r="K17">
        <f t="shared" si="1"/>
        <v>1370</v>
      </c>
      <c r="L17">
        <f t="shared" si="2"/>
        <v>1370</v>
      </c>
    </row>
    <row r="21" spans="3:12" x14ac:dyDescent="0.25">
      <c r="C21" t="s">
        <v>5</v>
      </c>
      <c r="D21" t="s">
        <v>6</v>
      </c>
    </row>
    <row r="22" spans="3:12" x14ac:dyDescent="0.25">
      <c r="C22">
        <f>J4/1370</f>
        <v>1</v>
      </c>
      <c r="D22">
        <v>1</v>
      </c>
    </row>
    <row r="23" spans="3:12" x14ac:dyDescent="0.25">
      <c r="C23">
        <f t="shared" ref="C23:C37" si="4">J5/1370</f>
        <v>0.92999999999999994</v>
      </c>
      <c r="D23">
        <v>0.97</v>
      </c>
    </row>
    <row r="24" spans="3:12" x14ac:dyDescent="0.25">
      <c r="C24">
        <f t="shared" si="4"/>
        <v>0.80948905109489055</v>
      </c>
      <c r="D24">
        <v>0.91</v>
      </c>
    </row>
    <row r="25" spans="3:12" x14ac:dyDescent="0.25">
      <c r="C25">
        <f t="shared" si="4"/>
        <v>0.69</v>
      </c>
      <c r="D25">
        <v>0.83</v>
      </c>
    </row>
    <row r="26" spans="3:12" x14ac:dyDescent="0.25">
      <c r="C26">
        <f t="shared" si="4"/>
        <v>0.56999999999999995</v>
      </c>
      <c r="D26">
        <v>0.73</v>
      </c>
    </row>
    <row r="27" spans="3:12" x14ac:dyDescent="0.25">
      <c r="C27">
        <f t="shared" si="4"/>
        <v>0.51</v>
      </c>
      <c r="D27">
        <v>0.76</v>
      </c>
    </row>
    <row r="28" spans="3:12" x14ac:dyDescent="0.25">
      <c r="C28">
        <f t="shared" si="4"/>
        <v>0.45</v>
      </c>
      <c r="D28">
        <v>0.82</v>
      </c>
    </row>
    <row r="29" spans="3:12" x14ac:dyDescent="0.25">
      <c r="C29">
        <f t="shared" si="4"/>
        <v>0.26</v>
      </c>
      <c r="D29">
        <v>0.9</v>
      </c>
    </row>
    <row r="30" spans="3:12" x14ac:dyDescent="0.25">
      <c r="C30">
        <f t="shared" si="4"/>
        <v>0.21</v>
      </c>
      <c r="D30">
        <v>0.9</v>
      </c>
    </row>
    <row r="31" spans="3:12" x14ac:dyDescent="0.25">
      <c r="C31">
        <f t="shared" si="4"/>
        <v>0.24000000000000002</v>
      </c>
      <c r="D31">
        <v>0.9</v>
      </c>
    </row>
    <row r="32" spans="3:12" x14ac:dyDescent="0.25">
      <c r="C32">
        <f t="shared" si="4"/>
        <v>0.47</v>
      </c>
      <c r="D32">
        <v>0.93</v>
      </c>
    </row>
    <row r="33" spans="3:4" x14ac:dyDescent="0.25">
      <c r="C33">
        <f t="shared" si="4"/>
        <v>0.74</v>
      </c>
      <c r="D33">
        <v>0.97</v>
      </c>
    </row>
    <row r="34" spans="3:4" x14ac:dyDescent="0.25">
      <c r="C34">
        <f t="shared" si="4"/>
        <v>0.98</v>
      </c>
      <c r="D34">
        <v>0.98</v>
      </c>
    </row>
    <row r="35" spans="3:4" x14ac:dyDescent="0.25">
      <c r="C35">
        <f t="shared" si="4"/>
        <v>1</v>
      </c>
      <c r="D35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R.M. Fisch</dc:creator>
  <cp:lastModifiedBy>Paulo R.M. Fisch</cp:lastModifiedBy>
  <dcterms:created xsi:type="dcterms:W3CDTF">2021-01-10T18:13:52Z</dcterms:created>
  <dcterms:modified xsi:type="dcterms:W3CDTF">2021-01-10T18:25:49Z</dcterms:modified>
</cp:coreProperties>
</file>